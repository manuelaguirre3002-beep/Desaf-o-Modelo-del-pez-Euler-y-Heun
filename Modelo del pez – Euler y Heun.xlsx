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del pez" sheetId="1" r:id="rId4"/>
    <sheet state="visible" name="Modelo del organismo" sheetId="2" r:id="rId5"/>
  </sheets>
  <definedNames/>
  <calcPr/>
</workbook>
</file>

<file path=xl/sharedStrings.xml><?xml version="1.0" encoding="utf-8"?>
<sst xmlns="http://schemas.openxmlformats.org/spreadsheetml/2006/main" count="37" uniqueCount="28">
  <si>
    <t>a</t>
  </si>
  <si>
    <t>b</t>
  </si>
  <si>
    <t>Modelo del pez – Euler y Heun</t>
  </si>
  <si>
    <t>Carlos Manuel Miranda Aguirre</t>
  </si>
  <si>
    <t>w0</t>
  </si>
  <si>
    <t>h</t>
  </si>
  <si>
    <t>k</t>
  </si>
  <si>
    <t>t_k</t>
  </si>
  <si>
    <t>w_exact</t>
  </si>
  <si>
    <t>w_euler</t>
  </si>
  <si>
    <t>f_heun</t>
  </si>
  <si>
    <t>w_pred</t>
  </si>
  <si>
    <t>f_pred</t>
  </si>
  <si>
    <t>w_heun</t>
  </si>
  <si>
    <t>err_euler</t>
  </si>
  <si>
    <t>err_heun</t>
  </si>
  <si>
    <t>Sol exacta</t>
  </si>
  <si>
    <t>Euler</t>
  </si>
  <si>
    <t>Heun</t>
  </si>
  <si>
    <t>errores</t>
  </si>
  <si>
    <t>mmax</t>
  </si>
  <si>
    <t>m0</t>
  </si>
  <si>
    <t>Modelo del organismo – Euler y Heun</t>
  </si>
  <si>
    <t>c</t>
  </si>
  <si>
    <t>m_exact</t>
  </si>
  <si>
    <t>m_euler</t>
  </si>
  <si>
    <t>m_pred</t>
  </si>
  <si>
    <t>m_heun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</si>
</sst>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9.0"/>
      <color theme="1"/>
      <name val="Arial"/>
      <scheme val="minor"/>
    </font>
    <font>
      <b/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1" fillId="3" fontId="1" numFmtId="0" xfId="0" applyAlignment="1" applyBorder="1" applyFill="1" applyFont="1">
      <alignment readingOrder="0"/>
    </xf>
    <xf borderId="1" fillId="0" fontId="1" numFmtId="0" xfId="0" applyBorder="1" applyFont="1"/>
    <xf borderId="1" fillId="3" fontId="1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3" fillId="0" fontId="4" numFmtId="0" xfId="0" applyBorder="1" applyFont="1"/>
    <xf borderId="0" fillId="0" fontId="2" numFmtId="0" xfId="0" applyAlignment="1" applyFont="1">
      <alignment horizontal="center" readingOrder="0"/>
    </xf>
    <xf borderId="1" fillId="8" fontId="1" numFmtId="0" xfId="0" applyAlignment="1" applyBorder="1" applyFill="1" applyFont="1">
      <alignment readingOrder="0"/>
    </xf>
    <xf borderId="1" fillId="8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31</xdr:row>
      <xdr:rowOff>28575</xdr:rowOff>
    </xdr:from>
    <xdr:ext cx="8667750" cy="1428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828675</xdr:colOff>
      <xdr:row>49</xdr:row>
      <xdr:rowOff>209550</xdr:rowOff>
    </xdr:from>
    <xdr:ext cx="8867775" cy="14382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5.0</v>
      </c>
    </row>
    <row r="2">
      <c r="A2" s="1" t="s">
        <v>1</v>
      </c>
      <c r="B2" s="2">
        <v>2.0</v>
      </c>
      <c r="D2" s="3" t="s">
        <v>2</v>
      </c>
      <c r="I2" s="4" t="s">
        <v>3</v>
      </c>
    </row>
    <row r="3">
      <c r="A3" s="1" t="s">
        <v>4</v>
      </c>
      <c r="B3" s="2">
        <v>0.5</v>
      </c>
      <c r="I3" s="4">
        <v>1.3759486E7</v>
      </c>
    </row>
    <row r="4">
      <c r="A4" s="1" t="s">
        <v>5</v>
      </c>
      <c r="B4" s="2">
        <v>0.5</v>
      </c>
      <c r="I4" s="4">
        <v>1825954.0</v>
      </c>
    </row>
    <row r="7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</row>
    <row r="8">
      <c r="A8" s="5">
        <v>0.0</v>
      </c>
      <c r="B8" s="2">
        <v>0.0</v>
      </c>
      <c r="C8" s="6">
        <f t="shared" ref="C8:C28" si="1">POWER($B$1/$B$2 + (POWER($B$3,1/3)-$B$1/$B$2)*EXP(-$B$2*B8/3), 3)
</f>
        <v>0.5</v>
      </c>
      <c r="D8" s="6">
        <f>$B$3</f>
        <v>0.5</v>
      </c>
      <c r="E8" s="6"/>
      <c r="F8" s="6"/>
      <c r="G8" s="6"/>
      <c r="H8" s="6">
        <f>$B$3</f>
        <v>0.5</v>
      </c>
      <c r="I8" s="6">
        <f t="shared" ref="I8:I28" si="2">ABS(D8-C8)</f>
        <v>0</v>
      </c>
      <c r="J8" s="6">
        <f t="shared" ref="J8:J28" si="3">ABS(H8-C8)</f>
        <v>0</v>
      </c>
    </row>
    <row r="9">
      <c r="A9" s="7">
        <f t="shared" ref="A9:A28" si="4">A8+1</f>
        <v>1</v>
      </c>
      <c r="B9" s="6">
        <f t="shared" ref="B9:B28" si="5">B8+$B$4</f>
        <v>0.5</v>
      </c>
      <c r="C9" s="6">
        <f t="shared" si="1"/>
        <v>2.084315211</v>
      </c>
      <c r="D9" s="6">
        <f t="shared" ref="D9:D28" si="6">D8 + $B$4*($B$1*POWER(D8,2/3) - $B$2*D8)</f>
        <v>1.574901312</v>
      </c>
      <c r="E9" s="6">
        <f t="shared" ref="E9:E28" si="7">$B$1*POWER(H8,2/3) - $B$2*H8</f>
        <v>2.149802625</v>
      </c>
      <c r="F9" s="6">
        <f t="shared" ref="F9:F28" si="8">H8 + $B$4*E9</f>
        <v>1.574901312</v>
      </c>
      <c r="G9" s="6">
        <f t="shared" ref="G9:G28" si="9">$B$1*POWER(F9,2/3) - $B$2*F9</f>
        <v>3.61838258</v>
      </c>
      <c r="H9" s="6">
        <f t="shared" ref="H9:H28" si="10">H8 + ($B$4/2)*(E9+G9)</f>
        <v>1.942046301</v>
      </c>
      <c r="I9" s="6">
        <f t="shared" si="2"/>
        <v>0.5094138984</v>
      </c>
      <c r="J9" s="6">
        <f t="shared" si="3"/>
        <v>0.1422689094</v>
      </c>
    </row>
    <row r="10">
      <c r="A10" s="7">
        <f t="shared" si="4"/>
        <v>2</v>
      </c>
      <c r="B10" s="6">
        <f t="shared" si="5"/>
        <v>1</v>
      </c>
      <c r="C10" s="6">
        <f t="shared" si="1"/>
        <v>4.282755562</v>
      </c>
      <c r="D10" s="6">
        <f t="shared" si="6"/>
        <v>3.384092603</v>
      </c>
      <c r="E10" s="6">
        <f t="shared" si="7"/>
        <v>3.898836201</v>
      </c>
      <c r="F10" s="6">
        <f t="shared" si="8"/>
        <v>3.891464402</v>
      </c>
      <c r="G10" s="6">
        <f t="shared" si="9"/>
        <v>4.587327907</v>
      </c>
      <c r="H10" s="6">
        <f t="shared" si="10"/>
        <v>4.063587328</v>
      </c>
      <c r="I10" s="6">
        <f t="shared" si="2"/>
        <v>0.8986629594</v>
      </c>
      <c r="J10" s="6">
        <f t="shared" si="3"/>
        <v>0.2191682338</v>
      </c>
    </row>
    <row r="11">
      <c r="A11" s="7">
        <f t="shared" si="4"/>
        <v>3</v>
      </c>
      <c r="B11" s="6">
        <f t="shared" si="5"/>
        <v>1.5</v>
      </c>
      <c r="C11" s="6">
        <f t="shared" si="1"/>
        <v>6.563229875</v>
      </c>
      <c r="D11" s="6">
        <f t="shared" si="6"/>
        <v>5.635098361</v>
      </c>
      <c r="E11" s="6">
        <f t="shared" si="7"/>
        <v>4.60520957</v>
      </c>
      <c r="F11" s="6">
        <f t="shared" si="8"/>
        <v>6.366192114</v>
      </c>
      <c r="G11" s="6">
        <f t="shared" si="9"/>
        <v>4.442342326</v>
      </c>
      <c r="H11" s="6">
        <f t="shared" si="10"/>
        <v>6.325475302</v>
      </c>
      <c r="I11" s="6">
        <f t="shared" si="2"/>
        <v>0.9281315144</v>
      </c>
      <c r="J11" s="6">
        <f t="shared" si="3"/>
        <v>0.2377545729</v>
      </c>
    </row>
    <row r="12">
      <c r="A12" s="7">
        <f t="shared" si="4"/>
        <v>4</v>
      </c>
      <c r="B12" s="6">
        <f t="shared" si="5"/>
        <v>2</v>
      </c>
      <c r="C12" s="6">
        <f t="shared" si="1"/>
        <v>8.6179537</v>
      </c>
      <c r="D12" s="6">
        <f t="shared" si="6"/>
        <v>7.916642061</v>
      </c>
      <c r="E12" s="6">
        <f t="shared" si="7"/>
        <v>4.450467065</v>
      </c>
      <c r="F12" s="6">
        <f t="shared" si="8"/>
        <v>8.550708835</v>
      </c>
      <c r="G12" s="6">
        <f t="shared" si="9"/>
        <v>3.806209635</v>
      </c>
      <c r="H12" s="6">
        <f t="shared" si="10"/>
        <v>8.389644477</v>
      </c>
      <c r="I12" s="6">
        <f t="shared" si="2"/>
        <v>0.7013116393</v>
      </c>
      <c r="J12" s="6">
        <f t="shared" si="3"/>
        <v>0.2283092225</v>
      </c>
    </row>
    <row r="13">
      <c r="A13" s="7">
        <f t="shared" si="4"/>
        <v>5</v>
      </c>
      <c r="B13" s="6">
        <f t="shared" si="5"/>
        <v>2.5</v>
      </c>
      <c r="C13" s="6">
        <f t="shared" si="1"/>
        <v>10.32778316</v>
      </c>
      <c r="D13" s="6">
        <f t="shared" si="6"/>
        <v>9.930413854</v>
      </c>
      <c r="E13" s="6">
        <f t="shared" si="7"/>
        <v>3.864957856</v>
      </c>
      <c r="F13" s="6">
        <f t="shared" si="8"/>
        <v>10.32212341</v>
      </c>
      <c r="G13" s="6">
        <f t="shared" si="9"/>
        <v>3.059447385</v>
      </c>
      <c r="H13" s="6">
        <f t="shared" si="10"/>
        <v>10.12074579</v>
      </c>
      <c r="I13" s="6">
        <f t="shared" si="2"/>
        <v>0.397369308</v>
      </c>
      <c r="J13" s="6">
        <f t="shared" si="3"/>
        <v>0.2070373743</v>
      </c>
    </row>
    <row r="14">
      <c r="A14" s="7">
        <f t="shared" si="4"/>
        <v>6</v>
      </c>
      <c r="B14" s="6">
        <f t="shared" si="5"/>
        <v>3</v>
      </c>
      <c r="C14" s="6">
        <f t="shared" si="1"/>
        <v>11.68282779</v>
      </c>
      <c r="D14" s="6">
        <f t="shared" si="6"/>
        <v>11.55007774</v>
      </c>
      <c r="E14" s="6">
        <f t="shared" si="7"/>
        <v>3.152896072</v>
      </c>
      <c r="F14" s="6">
        <f t="shared" si="8"/>
        <v>11.69719382</v>
      </c>
      <c r="G14" s="6">
        <f t="shared" si="9"/>
        <v>2.370275089</v>
      </c>
      <c r="H14" s="6">
        <f t="shared" si="10"/>
        <v>11.50153858</v>
      </c>
      <c r="I14" s="6">
        <f t="shared" si="2"/>
        <v>0.13275005</v>
      </c>
      <c r="J14" s="6">
        <f t="shared" si="3"/>
        <v>0.1812892167</v>
      </c>
    </row>
    <row r="15">
      <c r="A15" s="7">
        <f t="shared" si="4"/>
        <v>7</v>
      </c>
      <c r="B15" s="6">
        <f t="shared" si="5"/>
        <v>3.5</v>
      </c>
      <c r="C15" s="6">
        <f t="shared" si="1"/>
        <v>12.72337018</v>
      </c>
      <c r="D15" s="6">
        <f t="shared" si="6"/>
        <v>12.77408928</v>
      </c>
      <c r="E15" s="6">
        <f t="shared" si="7"/>
        <v>2.473473738</v>
      </c>
      <c r="F15" s="6">
        <f t="shared" si="8"/>
        <v>12.73827545</v>
      </c>
      <c r="G15" s="6">
        <f t="shared" si="9"/>
        <v>1.795037159</v>
      </c>
      <c r="H15" s="6">
        <f t="shared" si="10"/>
        <v>12.5686663</v>
      </c>
      <c r="I15" s="6">
        <f t="shared" si="2"/>
        <v>0.05071909953</v>
      </c>
      <c r="J15" s="6">
        <f t="shared" si="3"/>
        <v>0.1547038733</v>
      </c>
    </row>
    <row r="16">
      <c r="A16" s="7">
        <f t="shared" si="4"/>
        <v>8</v>
      </c>
      <c r="B16" s="6">
        <f t="shared" si="5"/>
        <v>4</v>
      </c>
      <c r="C16" s="6">
        <f t="shared" si="1"/>
        <v>13.50576423</v>
      </c>
      <c r="D16" s="6">
        <f t="shared" si="6"/>
        <v>13.66134021</v>
      </c>
      <c r="E16" s="6">
        <f t="shared" si="7"/>
        <v>1.891635654</v>
      </c>
      <c r="F16" s="6">
        <f t="shared" si="8"/>
        <v>13.51448413</v>
      </c>
      <c r="G16" s="6">
        <f t="shared" si="9"/>
        <v>1.339528251</v>
      </c>
      <c r="H16" s="6">
        <f t="shared" si="10"/>
        <v>13.37645728</v>
      </c>
      <c r="I16" s="6">
        <f t="shared" si="2"/>
        <v>0.1555759819</v>
      </c>
      <c r="J16" s="6">
        <f t="shared" si="3"/>
        <v>0.1293069473</v>
      </c>
    </row>
    <row r="17">
      <c r="A17" s="7">
        <f t="shared" si="4"/>
        <v>9</v>
      </c>
      <c r="B17" s="6">
        <f t="shared" si="5"/>
        <v>4.5</v>
      </c>
      <c r="C17" s="6">
        <f t="shared" si="1"/>
        <v>14.08566938</v>
      </c>
      <c r="D17" s="6">
        <f t="shared" si="6"/>
        <v>14.28681912</v>
      </c>
      <c r="E17" s="6">
        <f t="shared" si="7"/>
        <v>1.422095229</v>
      </c>
      <c r="F17" s="6">
        <f t="shared" si="8"/>
        <v>14.08750489</v>
      </c>
      <c r="G17" s="6">
        <f t="shared" si="9"/>
        <v>0.9898162946</v>
      </c>
      <c r="H17" s="6">
        <f t="shared" si="10"/>
        <v>13.97943516</v>
      </c>
      <c r="I17" s="6">
        <f t="shared" si="2"/>
        <v>0.2011497432</v>
      </c>
      <c r="J17" s="6">
        <f t="shared" si="3"/>
        <v>0.1062342219</v>
      </c>
    </row>
    <row r="18">
      <c r="A18" s="7">
        <f t="shared" si="4"/>
        <v>10</v>
      </c>
      <c r="B18" s="6">
        <f t="shared" si="5"/>
        <v>5</v>
      </c>
      <c r="C18" s="6">
        <f t="shared" si="1"/>
        <v>14.51124143</v>
      </c>
      <c r="D18" s="6">
        <f t="shared" si="6"/>
        <v>14.71963495</v>
      </c>
      <c r="E18" s="6">
        <f t="shared" si="7"/>
        <v>1.056609297</v>
      </c>
      <c r="F18" s="6">
        <f t="shared" si="8"/>
        <v>14.50773981</v>
      </c>
      <c r="G18" s="6">
        <f t="shared" si="9"/>
        <v>0.7264980404</v>
      </c>
      <c r="H18" s="6">
        <f t="shared" si="10"/>
        <v>14.42521199</v>
      </c>
      <c r="I18" s="6">
        <f t="shared" si="2"/>
        <v>0.2083935208</v>
      </c>
      <c r="J18" s="6">
        <f t="shared" si="3"/>
        <v>0.08602943894</v>
      </c>
    </row>
    <row r="19">
      <c r="A19" s="7">
        <f t="shared" si="4"/>
        <v>11</v>
      </c>
      <c r="B19" s="6">
        <f t="shared" si="5"/>
        <v>5.5</v>
      </c>
      <c r="C19" s="6">
        <f t="shared" si="1"/>
        <v>14.82139138</v>
      </c>
      <c r="D19" s="6">
        <f t="shared" si="6"/>
        <v>15.01543904</v>
      </c>
      <c r="E19" s="6">
        <f t="shared" si="7"/>
        <v>0.7786542342</v>
      </c>
      <c r="F19" s="6">
        <f t="shared" si="8"/>
        <v>14.81453911</v>
      </c>
      <c r="G19" s="6">
        <f t="shared" si="9"/>
        <v>0.5307433292</v>
      </c>
      <c r="H19" s="6">
        <f t="shared" si="10"/>
        <v>14.75256138</v>
      </c>
      <c r="I19" s="6">
        <f t="shared" si="2"/>
        <v>0.1940476597</v>
      </c>
      <c r="J19" s="6">
        <f t="shared" si="3"/>
        <v>0.06882999364</v>
      </c>
    </row>
    <row r="20">
      <c r="A20" s="7">
        <f t="shared" si="4"/>
        <v>12</v>
      </c>
      <c r="B20" s="6">
        <f t="shared" si="5"/>
        <v>6</v>
      </c>
      <c r="C20" s="6">
        <f t="shared" si="1"/>
        <v>15.04632027</v>
      </c>
      <c r="D20" s="6">
        <f t="shared" si="6"/>
        <v>15.21593691</v>
      </c>
      <c r="E20" s="6">
        <f t="shared" si="7"/>
        <v>0.5705227828</v>
      </c>
      <c r="F20" s="6">
        <f t="shared" si="8"/>
        <v>15.03782278</v>
      </c>
      <c r="G20" s="6">
        <f t="shared" si="9"/>
        <v>0.3864642468</v>
      </c>
      <c r="H20" s="6">
        <f t="shared" si="10"/>
        <v>14.99180814</v>
      </c>
      <c r="I20" s="6">
        <f t="shared" si="2"/>
        <v>0.1696166325</v>
      </c>
      <c r="J20" s="6">
        <f t="shared" si="3"/>
        <v>0.0545121307</v>
      </c>
    </row>
    <row r="21">
      <c r="A21" s="7">
        <f t="shared" si="4"/>
        <v>13</v>
      </c>
      <c r="B21" s="6">
        <f t="shared" si="5"/>
        <v>6.5</v>
      </c>
      <c r="C21" s="6">
        <f t="shared" si="1"/>
        <v>15.20888066</v>
      </c>
      <c r="D21" s="6">
        <f t="shared" si="6"/>
        <v>15.35108729</v>
      </c>
      <c r="E21" s="6">
        <f t="shared" si="7"/>
        <v>0.4163205669</v>
      </c>
      <c r="F21" s="6">
        <f t="shared" si="8"/>
        <v>15.19996843</v>
      </c>
      <c r="G21" s="6">
        <f t="shared" si="9"/>
        <v>0.2807535485</v>
      </c>
      <c r="H21" s="6">
        <f t="shared" si="10"/>
        <v>15.16607667</v>
      </c>
      <c r="I21" s="6">
        <f t="shared" si="2"/>
        <v>0.1422066299</v>
      </c>
      <c r="J21" s="6">
        <f t="shared" si="3"/>
        <v>0.04280398789</v>
      </c>
    </row>
    <row r="22">
      <c r="A22" s="7">
        <f t="shared" si="4"/>
        <v>14</v>
      </c>
      <c r="B22" s="6">
        <f t="shared" si="5"/>
        <v>7</v>
      </c>
      <c r="C22" s="6">
        <f t="shared" si="1"/>
        <v>15.3260775</v>
      </c>
      <c r="D22" s="6">
        <f t="shared" si="6"/>
        <v>15.44185379</v>
      </c>
      <c r="E22" s="6">
        <f t="shared" si="7"/>
        <v>0.3029137509</v>
      </c>
      <c r="F22" s="6">
        <f t="shared" si="8"/>
        <v>15.31753355</v>
      </c>
      <c r="G22" s="6">
        <f t="shared" si="9"/>
        <v>0.2036212337</v>
      </c>
      <c r="H22" s="6">
        <f t="shared" si="10"/>
        <v>15.29271042</v>
      </c>
      <c r="I22" s="6">
        <f t="shared" si="2"/>
        <v>0.1157762966</v>
      </c>
      <c r="J22" s="6">
        <f t="shared" si="3"/>
        <v>0.03336707856</v>
      </c>
    </row>
    <row r="23">
      <c r="A23" s="7">
        <f t="shared" si="4"/>
        <v>15</v>
      </c>
      <c r="B23" s="6">
        <f t="shared" si="5"/>
        <v>7.5</v>
      </c>
      <c r="C23" s="6">
        <f t="shared" si="1"/>
        <v>15.41042192</v>
      </c>
      <c r="D23" s="6">
        <f t="shared" si="6"/>
        <v>15.50266275</v>
      </c>
      <c r="E23" s="6">
        <f t="shared" si="7"/>
        <v>0.219940993</v>
      </c>
      <c r="F23" s="6">
        <f t="shared" si="8"/>
        <v>15.40268091</v>
      </c>
      <c r="G23" s="6">
        <f t="shared" si="9"/>
        <v>0.1475052974</v>
      </c>
      <c r="H23" s="6">
        <f t="shared" si="10"/>
        <v>15.38457199</v>
      </c>
      <c r="I23" s="6">
        <f t="shared" si="2"/>
        <v>0.09224083621</v>
      </c>
      <c r="J23" s="6">
        <f t="shared" si="3"/>
        <v>0.02584992642</v>
      </c>
    </row>
    <row r="24">
      <c r="A24" s="7">
        <f t="shared" si="4"/>
        <v>16</v>
      </c>
      <c r="B24" s="6">
        <f t="shared" si="5"/>
        <v>8</v>
      </c>
      <c r="C24" s="6">
        <f t="shared" si="1"/>
        <v>15.47104726</v>
      </c>
      <c r="D24" s="6">
        <f t="shared" si="6"/>
        <v>15.54333504</v>
      </c>
      <c r="E24" s="6">
        <f t="shared" si="7"/>
        <v>0.1594575424</v>
      </c>
      <c r="F24" s="6">
        <f t="shared" si="8"/>
        <v>15.46430076</v>
      </c>
      <c r="G24" s="6">
        <f t="shared" si="9"/>
        <v>0.106763859</v>
      </c>
      <c r="H24" s="6">
        <f t="shared" si="10"/>
        <v>15.45112734</v>
      </c>
      <c r="I24" s="6">
        <f t="shared" si="2"/>
        <v>0.07228777815</v>
      </c>
      <c r="J24" s="6">
        <f t="shared" si="3"/>
        <v>0.01991991692</v>
      </c>
    </row>
    <row r="25">
      <c r="A25" s="7">
        <f t="shared" si="4"/>
        <v>17</v>
      </c>
      <c r="B25" s="6">
        <f t="shared" si="5"/>
        <v>8.5</v>
      </c>
      <c r="C25" s="6">
        <f t="shared" si="1"/>
        <v>15.51458485</v>
      </c>
      <c r="D25" s="6">
        <f t="shared" si="6"/>
        <v>15.57050915</v>
      </c>
      <c r="E25" s="6">
        <f t="shared" si="7"/>
        <v>0.1154830043</v>
      </c>
      <c r="F25" s="6">
        <f t="shared" si="8"/>
        <v>15.50886884</v>
      </c>
      <c r="G25" s="6">
        <f t="shared" si="9"/>
        <v>0.07722832832</v>
      </c>
      <c r="H25" s="6">
        <f t="shared" si="10"/>
        <v>15.49930517</v>
      </c>
      <c r="I25" s="6">
        <f t="shared" si="2"/>
        <v>0.05592430046</v>
      </c>
      <c r="J25" s="6">
        <f t="shared" si="3"/>
        <v>0.01527968075</v>
      </c>
    </row>
    <row r="26">
      <c r="A26" s="7">
        <f t="shared" si="4"/>
        <v>18</v>
      </c>
      <c r="B26" s="6">
        <f t="shared" si="5"/>
        <v>9</v>
      </c>
      <c r="C26" s="6">
        <f t="shared" si="1"/>
        <v>15.54583109</v>
      </c>
      <c r="D26" s="6">
        <f t="shared" si="6"/>
        <v>15.58865162</v>
      </c>
      <c r="E26" s="6">
        <f t="shared" si="7"/>
        <v>0.08357104449</v>
      </c>
      <c r="F26" s="6">
        <f t="shared" si="8"/>
        <v>15.5410907</v>
      </c>
      <c r="G26" s="6">
        <f t="shared" si="9"/>
        <v>0.05583916124</v>
      </c>
      <c r="H26" s="6">
        <f t="shared" si="10"/>
        <v>15.53415772</v>
      </c>
      <c r="I26" s="6">
        <f t="shared" si="2"/>
        <v>0.04282053692</v>
      </c>
      <c r="J26" s="6">
        <f t="shared" si="3"/>
        <v>0.01167336059</v>
      </c>
    </row>
    <row r="27">
      <c r="A27" s="7">
        <f t="shared" si="4"/>
        <v>19</v>
      </c>
      <c r="B27" s="6">
        <f t="shared" si="5"/>
        <v>9.5</v>
      </c>
      <c r="C27" s="6">
        <f t="shared" si="1"/>
        <v>15.56824577</v>
      </c>
      <c r="D27" s="6">
        <f t="shared" si="6"/>
        <v>15.60075834</v>
      </c>
      <c r="E27" s="6">
        <f t="shared" si="7"/>
        <v>0.06044384633</v>
      </c>
      <c r="F27" s="6">
        <f t="shared" si="8"/>
        <v>15.56437965</v>
      </c>
      <c r="G27" s="6">
        <f t="shared" si="9"/>
        <v>0.04036121364</v>
      </c>
      <c r="H27" s="6">
        <f t="shared" si="10"/>
        <v>15.55935899</v>
      </c>
      <c r="I27" s="6">
        <f t="shared" si="2"/>
        <v>0.03251257376</v>
      </c>
      <c r="J27" s="6">
        <f t="shared" si="3"/>
        <v>0.008886779769</v>
      </c>
    </row>
    <row r="28">
      <c r="A28" s="7">
        <f t="shared" si="4"/>
        <v>20</v>
      </c>
      <c r="B28" s="6">
        <f t="shared" si="5"/>
        <v>10</v>
      </c>
      <c r="C28" s="8">
        <f t="shared" si="1"/>
        <v>15.58431984</v>
      </c>
      <c r="D28" s="9">
        <f t="shared" si="6"/>
        <v>15.60883471</v>
      </c>
      <c r="E28" s="6">
        <f t="shared" si="7"/>
        <v>0.04369927903</v>
      </c>
      <c r="F28" s="6">
        <f t="shared" si="8"/>
        <v>15.58120863</v>
      </c>
      <c r="G28" s="6">
        <f t="shared" si="9"/>
        <v>0.02916693952</v>
      </c>
      <c r="H28" s="9">
        <f t="shared" si="10"/>
        <v>15.57757554</v>
      </c>
      <c r="I28" s="6">
        <f t="shared" si="2"/>
        <v>0.02451487818</v>
      </c>
      <c r="J28" s="6">
        <f t="shared" si="3"/>
        <v>0.006744291225</v>
      </c>
    </row>
    <row r="29">
      <c r="A29" s="6"/>
      <c r="B29" s="6"/>
      <c r="C29" s="10" t="s">
        <v>16</v>
      </c>
      <c r="D29" s="11" t="s">
        <v>17</v>
      </c>
      <c r="E29" s="6"/>
      <c r="F29" s="6"/>
      <c r="G29" s="6"/>
      <c r="H29" s="11" t="s">
        <v>18</v>
      </c>
      <c r="I29" s="12" t="s">
        <v>19</v>
      </c>
      <c r="J29" s="13"/>
    </row>
  </sheetData>
  <mergeCells count="2">
    <mergeCell ref="I29:J29"/>
    <mergeCell ref="D2: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2">
        <v>0.3</v>
      </c>
    </row>
    <row r="2">
      <c r="A2" s="1" t="s">
        <v>20</v>
      </c>
      <c r="B2" s="2">
        <v>300.0</v>
      </c>
      <c r="J2" s="4" t="s">
        <v>3</v>
      </c>
    </row>
    <row r="3">
      <c r="A3" s="1" t="s">
        <v>21</v>
      </c>
      <c r="B3" s="2">
        <v>1.0</v>
      </c>
      <c r="D3" s="14" t="s">
        <v>22</v>
      </c>
      <c r="J3" s="4">
        <v>1.3759486E7</v>
      </c>
    </row>
    <row r="4">
      <c r="A4" s="1" t="s">
        <v>5</v>
      </c>
      <c r="B4" s="2">
        <v>10.0</v>
      </c>
      <c r="J4" s="4">
        <v>1825954.0</v>
      </c>
    </row>
    <row r="5">
      <c r="A5" s="1" t="s">
        <v>23</v>
      </c>
      <c r="B5" s="6">
        <f>B1/(4*POWER(B2,1/4))</f>
        <v>0.01802108561</v>
      </c>
    </row>
    <row r="7">
      <c r="A7" s="1" t="s">
        <v>6</v>
      </c>
      <c r="B7" s="1" t="s">
        <v>7</v>
      </c>
      <c r="C7" s="1" t="s">
        <v>24</v>
      </c>
      <c r="D7" s="1" t="s">
        <v>25</v>
      </c>
      <c r="E7" s="1" t="s">
        <v>10</v>
      </c>
      <c r="F7" s="1" t="s">
        <v>26</v>
      </c>
      <c r="G7" s="1" t="s">
        <v>12</v>
      </c>
      <c r="H7" s="1" t="s">
        <v>27</v>
      </c>
      <c r="I7" s="1" t="s">
        <v>14</v>
      </c>
      <c r="J7" s="1" t="s">
        <v>15</v>
      </c>
    </row>
    <row r="8">
      <c r="A8" s="15">
        <v>0.0</v>
      </c>
      <c r="B8" s="2">
        <v>0.0</v>
      </c>
      <c r="C8" s="6">
        <f t="shared" ref="C8:C48" si="1">POWER( POWER($B$2,1/4) + (POWER($B$3,1/4)-POWER($B$2,1/4))*EXP(-$B$5*B8) , 4)
</f>
        <v>1</v>
      </c>
      <c r="D8" s="6">
        <f>$B$3</f>
        <v>1</v>
      </c>
      <c r="E8" s="6"/>
      <c r="F8" s="6"/>
      <c r="G8" s="6"/>
      <c r="H8" s="6">
        <f>$B$3</f>
        <v>1</v>
      </c>
      <c r="I8" s="6">
        <f t="shared" ref="I8:I48" si="2">ABS(D8-C8)</f>
        <v>0</v>
      </c>
      <c r="J8" s="6">
        <f t="shared" ref="J8:J48" si="3">ABS(H8-C8)</f>
        <v>0</v>
      </c>
    </row>
    <row r="9">
      <c r="A9" s="16">
        <f t="shared" ref="A9:A48" si="4">A8+1</f>
        <v>1</v>
      </c>
      <c r="B9" s="6">
        <f t="shared" ref="B9:B48" si="5">B8+$B$4</f>
        <v>10</v>
      </c>
      <c r="C9" s="6">
        <f t="shared" si="1"/>
        <v>5.357613846</v>
      </c>
      <c r="D9" s="6">
        <f t="shared" ref="D9:D48" si="6">D8 + $B$4 * ( $B$1*POWER(D8,3/4) * (1 - POWER(D8/$B$2,1/4)) )</f>
        <v>3.279156576</v>
      </c>
      <c r="E9" s="6">
        <f t="shared" ref="E9:E48" si="7">$B$1*POWER(H8,3/4) * (1 - POWER(H8/$B$2,1/4))</f>
        <v>0.2279156576</v>
      </c>
      <c r="F9" s="6">
        <f t="shared" ref="F9:F48" si="8">H8 + $B$4*E9</f>
        <v>3.279156576</v>
      </c>
      <c r="G9" s="6">
        <f t="shared" ref="G9:G48" si="9">$B$1*POWER(F9,3/4) * (1 - POWER(F9/$B$2,1/4))</f>
        <v>0.494667066</v>
      </c>
      <c r="H9" s="6">
        <f t="shared" ref="H9:H48" si="10">H8 + ($B$4/2)*(E9+G9)</f>
        <v>4.612913618</v>
      </c>
      <c r="I9" s="6">
        <f t="shared" si="2"/>
        <v>2.078457271</v>
      </c>
      <c r="J9" s="6">
        <f t="shared" si="3"/>
        <v>0.7447002284</v>
      </c>
    </row>
    <row r="10">
      <c r="A10" s="16">
        <f t="shared" si="4"/>
        <v>2</v>
      </c>
      <c r="B10" s="6">
        <f t="shared" si="5"/>
        <v>20</v>
      </c>
      <c r="C10" s="6">
        <f t="shared" si="1"/>
        <v>14.66218193</v>
      </c>
      <c r="D10" s="6">
        <f t="shared" si="6"/>
        <v>8.225827236</v>
      </c>
      <c r="E10" s="6">
        <f t="shared" si="7"/>
        <v>0.6117654057</v>
      </c>
      <c r="F10" s="6">
        <f t="shared" si="8"/>
        <v>10.73056767</v>
      </c>
      <c r="G10" s="6">
        <f t="shared" si="9"/>
        <v>1.005134999</v>
      </c>
      <c r="H10" s="6">
        <f t="shared" si="10"/>
        <v>12.69741564</v>
      </c>
      <c r="I10" s="6">
        <f t="shared" si="2"/>
        <v>6.436354689</v>
      </c>
      <c r="J10" s="6">
        <f t="shared" si="3"/>
        <v>1.964766283</v>
      </c>
    </row>
    <row r="11">
      <c r="A11" s="16">
        <f t="shared" si="4"/>
        <v>3</v>
      </c>
      <c r="B11" s="6">
        <f t="shared" si="5"/>
        <v>30</v>
      </c>
      <c r="C11" s="6">
        <f t="shared" si="1"/>
        <v>28.99162193</v>
      </c>
      <c r="D11" s="6">
        <f t="shared" si="6"/>
        <v>16.8678502</v>
      </c>
      <c r="E11" s="6">
        <f t="shared" si="7"/>
        <v>1.102652856</v>
      </c>
      <c r="F11" s="6">
        <f t="shared" si="8"/>
        <v>23.7239442</v>
      </c>
      <c r="G11" s="6">
        <f t="shared" si="9"/>
        <v>1.514739238</v>
      </c>
      <c r="H11" s="6">
        <f t="shared" si="10"/>
        <v>25.78437611</v>
      </c>
      <c r="I11" s="6">
        <f t="shared" si="2"/>
        <v>12.12377173</v>
      </c>
      <c r="J11" s="6">
        <f t="shared" si="3"/>
        <v>3.207245819</v>
      </c>
    </row>
    <row r="12">
      <c r="A12" s="16">
        <f t="shared" si="4"/>
        <v>4</v>
      </c>
      <c r="B12" s="6">
        <f t="shared" si="5"/>
        <v>40</v>
      </c>
      <c r="C12" s="6">
        <f t="shared" si="1"/>
        <v>47.41417138</v>
      </c>
      <c r="D12" s="6">
        <f t="shared" si="6"/>
        <v>29.67862837</v>
      </c>
      <c r="E12" s="6">
        <f t="shared" si="7"/>
        <v>1.57407293</v>
      </c>
      <c r="F12" s="6">
        <f t="shared" si="8"/>
        <v>41.52510542</v>
      </c>
      <c r="G12" s="6">
        <f t="shared" si="9"/>
        <v>1.91412233</v>
      </c>
      <c r="H12" s="6">
        <f t="shared" si="10"/>
        <v>43.22535242</v>
      </c>
      <c r="I12" s="6">
        <f t="shared" si="2"/>
        <v>17.73554301</v>
      </c>
      <c r="J12" s="6">
        <f t="shared" si="3"/>
        <v>4.188818966</v>
      </c>
    </row>
    <row r="13">
      <c r="A13" s="16">
        <f t="shared" si="4"/>
        <v>5</v>
      </c>
      <c r="B13" s="6">
        <f t="shared" si="5"/>
        <v>50</v>
      </c>
      <c r="C13" s="6">
        <f t="shared" si="1"/>
        <v>68.57351753</v>
      </c>
      <c r="D13" s="6">
        <f t="shared" si="6"/>
        <v>46.43143394</v>
      </c>
      <c r="E13" s="6">
        <f t="shared" si="7"/>
        <v>1.941503946</v>
      </c>
      <c r="F13" s="6">
        <f t="shared" si="8"/>
        <v>62.64039188</v>
      </c>
      <c r="G13" s="6">
        <f t="shared" si="9"/>
        <v>2.164387698</v>
      </c>
      <c r="H13" s="6">
        <f t="shared" si="10"/>
        <v>63.75481064</v>
      </c>
      <c r="I13" s="6">
        <f t="shared" si="2"/>
        <v>22.14208359</v>
      </c>
      <c r="J13" s="6">
        <f t="shared" si="3"/>
        <v>4.818706891</v>
      </c>
    </row>
    <row r="14">
      <c r="A14" s="16">
        <f t="shared" si="4"/>
        <v>6</v>
      </c>
      <c r="B14" s="6">
        <f t="shared" si="5"/>
        <v>60</v>
      </c>
      <c r="C14" s="6">
        <f t="shared" si="1"/>
        <v>91.09764021</v>
      </c>
      <c r="D14" s="6">
        <f t="shared" si="6"/>
        <v>66.32342242</v>
      </c>
      <c r="E14" s="6">
        <f t="shared" si="7"/>
        <v>2.172987448</v>
      </c>
      <c r="F14" s="6">
        <f t="shared" si="8"/>
        <v>85.48468512</v>
      </c>
      <c r="G14" s="6">
        <f t="shared" si="9"/>
        <v>2.271968333</v>
      </c>
      <c r="H14" s="6">
        <f t="shared" si="10"/>
        <v>85.97958954</v>
      </c>
      <c r="I14" s="6">
        <f t="shared" si="2"/>
        <v>24.77421778</v>
      </c>
      <c r="J14" s="6">
        <f t="shared" si="3"/>
        <v>5.118050667</v>
      </c>
    </row>
    <row r="15">
      <c r="A15" s="16">
        <f t="shared" si="4"/>
        <v>7</v>
      </c>
      <c r="B15" s="6">
        <f t="shared" si="5"/>
        <v>70</v>
      </c>
      <c r="C15" s="6">
        <f t="shared" si="1"/>
        <v>113.8158283</v>
      </c>
      <c r="D15" s="6">
        <f t="shared" si="6"/>
        <v>88.23687872</v>
      </c>
      <c r="E15" s="6">
        <f t="shared" si="7"/>
        <v>2.272888167</v>
      </c>
      <c r="F15" s="6">
        <f t="shared" si="8"/>
        <v>108.7084712</v>
      </c>
      <c r="G15" s="6">
        <f t="shared" si="9"/>
        <v>2.263761385</v>
      </c>
      <c r="H15" s="6">
        <f t="shared" si="10"/>
        <v>108.6628373</v>
      </c>
      <c r="I15" s="6">
        <f t="shared" si="2"/>
        <v>25.57894957</v>
      </c>
      <c r="J15" s="6">
        <f t="shared" si="3"/>
        <v>5.152990982</v>
      </c>
    </row>
    <row r="16">
      <c r="A16" s="16">
        <f t="shared" si="4"/>
        <v>8</v>
      </c>
      <c r="B16" s="6">
        <f t="shared" si="5"/>
        <v>80</v>
      </c>
      <c r="C16" s="6">
        <f t="shared" si="1"/>
        <v>135.838367</v>
      </c>
      <c r="D16" s="6">
        <f t="shared" si="6"/>
        <v>111.0010971</v>
      </c>
      <c r="E16" s="6">
        <f t="shared" si="7"/>
        <v>2.263870875</v>
      </c>
      <c r="F16" s="6">
        <f t="shared" si="8"/>
        <v>131.3015461</v>
      </c>
      <c r="G16" s="6">
        <f t="shared" si="9"/>
        <v>2.171748175</v>
      </c>
      <c r="H16" s="6">
        <f t="shared" si="10"/>
        <v>130.8409326</v>
      </c>
      <c r="I16" s="6">
        <f t="shared" si="2"/>
        <v>24.83726994</v>
      </c>
      <c r="J16" s="6">
        <f t="shared" si="3"/>
        <v>4.997434458</v>
      </c>
    </row>
    <row r="17">
      <c r="A17" s="16">
        <f t="shared" si="4"/>
        <v>9</v>
      </c>
      <c r="B17" s="6">
        <f t="shared" si="5"/>
        <v>90</v>
      </c>
      <c r="C17" s="6">
        <f t="shared" si="1"/>
        <v>156.5559464</v>
      </c>
      <c r="D17" s="6">
        <f t="shared" si="6"/>
        <v>133.5794449</v>
      </c>
      <c r="E17" s="6">
        <f t="shared" si="7"/>
        <v>2.17432152</v>
      </c>
      <c r="F17" s="6">
        <f t="shared" si="8"/>
        <v>152.5841478</v>
      </c>
      <c r="G17" s="6">
        <f t="shared" si="9"/>
        <v>2.025339831</v>
      </c>
      <c r="H17" s="6">
        <f t="shared" si="10"/>
        <v>151.8392393</v>
      </c>
      <c r="I17" s="6">
        <f t="shared" si="2"/>
        <v>22.97650151</v>
      </c>
      <c r="J17" s="6">
        <f t="shared" si="3"/>
        <v>4.716707066</v>
      </c>
    </row>
    <row r="18">
      <c r="A18" s="16">
        <f t="shared" si="4"/>
        <v>10</v>
      </c>
      <c r="B18" s="6">
        <f t="shared" si="5"/>
        <v>100</v>
      </c>
      <c r="C18" s="6">
        <f t="shared" si="1"/>
        <v>175.6004611</v>
      </c>
      <c r="D18" s="6">
        <f t="shared" si="6"/>
        <v>155.1657406</v>
      </c>
      <c r="E18" s="6">
        <f t="shared" si="7"/>
        <v>2.03131902</v>
      </c>
      <c r="F18" s="6">
        <f t="shared" si="8"/>
        <v>172.1524295</v>
      </c>
      <c r="G18" s="6">
        <f t="shared" si="9"/>
        <v>1.848423621</v>
      </c>
      <c r="H18" s="6">
        <f t="shared" si="10"/>
        <v>171.2379525</v>
      </c>
      <c r="I18" s="6">
        <f t="shared" si="2"/>
        <v>20.4347205</v>
      </c>
      <c r="J18" s="6">
        <f t="shared" si="3"/>
        <v>4.362508632</v>
      </c>
    </row>
    <row r="19">
      <c r="A19" s="16">
        <f t="shared" si="4"/>
        <v>11</v>
      </c>
      <c r="B19" s="6">
        <f t="shared" si="5"/>
        <v>110</v>
      </c>
      <c r="C19" s="6">
        <f t="shared" si="1"/>
        <v>192.7929143</v>
      </c>
      <c r="D19" s="6">
        <f t="shared" si="6"/>
        <v>175.2074396</v>
      </c>
      <c r="E19" s="6">
        <f t="shared" si="7"/>
        <v>1.857501542</v>
      </c>
      <c r="F19" s="6">
        <f t="shared" si="8"/>
        <v>189.8129679</v>
      </c>
      <c r="G19" s="6">
        <f t="shared" si="9"/>
        <v>1.65888073</v>
      </c>
      <c r="H19" s="6">
        <f t="shared" si="10"/>
        <v>188.8198639</v>
      </c>
      <c r="I19" s="6">
        <f t="shared" si="2"/>
        <v>17.58547464</v>
      </c>
      <c r="J19" s="6">
        <f t="shared" si="3"/>
        <v>3.973050381</v>
      </c>
    </row>
    <row r="20">
      <c r="A20" s="16">
        <f t="shared" si="4"/>
        <v>12</v>
      </c>
      <c r="B20" s="6">
        <f t="shared" si="5"/>
        <v>120</v>
      </c>
      <c r="C20" s="6">
        <f t="shared" si="1"/>
        <v>208.0922669</v>
      </c>
      <c r="D20" s="6">
        <f t="shared" si="6"/>
        <v>193.3829666</v>
      </c>
      <c r="E20" s="6">
        <f t="shared" si="7"/>
        <v>1.670228621</v>
      </c>
      <c r="F20" s="6">
        <f t="shared" si="8"/>
        <v>205.5221501</v>
      </c>
      <c r="G20" s="6">
        <f t="shared" si="9"/>
        <v>1.469226077</v>
      </c>
      <c r="H20" s="6">
        <f t="shared" si="10"/>
        <v>204.5171374</v>
      </c>
      <c r="I20" s="6">
        <f t="shared" si="2"/>
        <v>14.70930031</v>
      </c>
      <c r="J20" s="6">
        <f t="shared" si="3"/>
        <v>3.575129533</v>
      </c>
    </row>
    <row r="21">
      <c r="A21" s="16">
        <f t="shared" si="4"/>
        <v>13</v>
      </c>
      <c r="B21" s="6">
        <f t="shared" si="5"/>
        <v>130</v>
      </c>
      <c r="C21" s="6">
        <f t="shared" si="1"/>
        <v>221.5514914</v>
      </c>
      <c r="D21" s="6">
        <f t="shared" si="6"/>
        <v>209.5573746</v>
      </c>
      <c r="E21" s="6">
        <f t="shared" si="7"/>
        <v>1.48191248</v>
      </c>
      <c r="F21" s="6">
        <f t="shared" si="8"/>
        <v>219.3362622</v>
      </c>
      <c r="G21" s="6">
        <f t="shared" si="9"/>
        <v>1.28763507</v>
      </c>
      <c r="H21" s="6">
        <f t="shared" si="10"/>
        <v>218.3648751</v>
      </c>
      <c r="I21" s="6">
        <f t="shared" si="2"/>
        <v>11.99411677</v>
      </c>
      <c r="J21" s="6">
        <f t="shared" si="3"/>
        <v>3.186616261</v>
      </c>
    </row>
    <row r="22">
      <c r="A22" s="16">
        <f t="shared" si="4"/>
        <v>14</v>
      </c>
      <c r="B22" s="6">
        <f t="shared" si="5"/>
        <v>140</v>
      </c>
      <c r="C22" s="6">
        <f t="shared" si="1"/>
        <v>233.282733</v>
      </c>
      <c r="D22" s="6">
        <f t="shared" si="6"/>
        <v>223.7329576</v>
      </c>
      <c r="E22" s="6">
        <f t="shared" si="7"/>
        <v>1.300832053</v>
      </c>
      <c r="F22" s="6">
        <f t="shared" si="8"/>
        <v>231.3731956</v>
      </c>
      <c r="G22" s="6">
        <f t="shared" si="9"/>
        <v>1.118993906</v>
      </c>
      <c r="H22" s="6">
        <f t="shared" si="10"/>
        <v>230.4640049</v>
      </c>
      <c r="I22" s="6">
        <f t="shared" si="2"/>
        <v>9.549775315</v>
      </c>
      <c r="J22" s="6">
        <f t="shared" si="3"/>
        <v>2.818728053</v>
      </c>
    </row>
    <row r="23">
      <c r="A23" s="16">
        <f t="shared" si="4"/>
        <v>15</v>
      </c>
      <c r="B23" s="6">
        <f t="shared" si="5"/>
        <v>150</v>
      </c>
      <c r="C23" s="6">
        <f t="shared" si="1"/>
        <v>243.4312626</v>
      </c>
      <c r="D23" s="6">
        <f t="shared" si="6"/>
        <v>236.0041725</v>
      </c>
      <c r="E23" s="6">
        <f t="shared" si="7"/>
        <v>1.132054854</v>
      </c>
      <c r="F23" s="6">
        <f t="shared" si="8"/>
        <v>241.7845534</v>
      </c>
      <c r="G23" s="6">
        <f t="shared" si="9"/>
        <v>0.9658177457</v>
      </c>
      <c r="H23" s="6">
        <f t="shared" si="10"/>
        <v>240.9533679</v>
      </c>
      <c r="I23" s="6">
        <f t="shared" si="2"/>
        <v>7.42709018</v>
      </c>
      <c r="J23" s="6">
        <f t="shared" si="3"/>
        <v>2.477894748</v>
      </c>
    </row>
    <row r="24">
      <c r="A24" s="16">
        <f t="shared" si="4"/>
        <v>16</v>
      </c>
      <c r="B24" s="6">
        <f t="shared" si="5"/>
        <v>160</v>
      </c>
      <c r="C24" s="6">
        <f t="shared" si="1"/>
        <v>252.1569461</v>
      </c>
      <c r="D24" s="6">
        <f t="shared" si="6"/>
        <v>246.5209067</v>
      </c>
      <c r="E24" s="6">
        <f t="shared" si="7"/>
        <v>0.9782860502</v>
      </c>
      <c r="F24" s="6">
        <f t="shared" si="8"/>
        <v>250.7362284</v>
      </c>
      <c r="G24" s="6">
        <f t="shared" si="9"/>
        <v>0.8289891017</v>
      </c>
      <c r="H24" s="6">
        <f t="shared" si="10"/>
        <v>249.9897437</v>
      </c>
      <c r="I24" s="6">
        <f t="shared" si="2"/>
        <v>5.63603936</v>
      </c>
      <c r="J24" s="6">
        <f t="shared" si="3"/>
        <v>2.167202407</v>
      </c>
    </row>
    <row r="25">
      <c r="A25" s="16">
        <f t="shared" si="4"/>
        <v>17</v>
      </c>
      <c r="B25" s="6">
        <f t="shared" si="5"/>
        <v>170</v>
      </c>
      <c r="C25" s="6">
        <f t="shared" si="1"/>
        <v>259.6216915</v>
      </c>
      <c r="D25" s="6">
        <f t="shared" si="6"/>
        <v>255.4608744</v>
      </c>
      <c r="E25" s="6">
        <f t="shared" si="7"/>
        <v>0.8405748079</v>
      </c>
      <c r="F25" s="6">
        <f t="shared" si="8"/>
        <v>258.3954917</v>
      </c>
      <c r="G25" s="6">
        <f t="shared" si="9"/>
        <v>0.7083203049</v>
      </c>
      <c r="H25" s="6">
        <f t="shared" si="10"/>
        <v>257.7342192</v>
      </c>
      <c r="I25" s="6">
        <f t="shared" si="2"/>
        <v>4.160817148</v>
      </c>
      <c r="J25" s="6">
        <f t="shared" si="3"/>
        <v>1.887472317</v>
      </c>
    </row>
    <row r="26">
      <c r="A26" s="16">
        <f t="shared" si="4"/>
        <v>18</v>
      </c>
      <c r="B26" s="6">
        <f t="shared" si="5"/>
        <v>180</v>
      </c>
      <c r="C26" s="6">
        <f t="shared" si="1"/>
        <v>265.9814198</v>
      </c>
      <c r="D26" s="6">
        <f t="shared" si="6"/>
        <v>263.0102449</v>
      </c>
      <c r="E26" s="6">
        <f t="shared" si="7"/>
        <v>0.7188657468</v>
      </c>
      <c r="F26" s="6">
        <f t="shared" si="8"/>
        <v>264.9228767</v>
      </c>
      <c r="G26" s="6">
        <f t="shared" si="9"/>
        <v>0.6029648376</v>
      </c>
      <c r="H26" s="6">
        <f t="shared" si="10"/>
        <v>264.3433721</v>
      </c>
      <c r="I26" s="6">
        <f t="shared" si="2"/>
        <v>2.971174891</v>
      </c>
      <c r="J26" s="6">
        <f t="shared" si="3"/>
        <v>1.638047626</v>
      </c>
    </row>
    <row r="27">
      <c r="A27" s="16">
        <f t="shared" si="4"/>
        <v>19</v>
      </c>
      <c r="B27" s="6">
        <f t="shared" si="5"/>
        <v>190</v>
      </c>
      <c r="C27" s="6">
        <f t="shared" si="1"/>
        <v>271.3813172</v>
      </c>
      <c r="D27" s="6">
        <f t="shared" si="6"/>
        <v>269.3509561</v>
      </c>
      <c r="E27" s="6">
        <f t="shared" si="7"/>
        <v>0.6124100787</v>
      </c>
      <c r="F27" s="6">
        <f t="shared" si="8"/>
        <v>270.4674729</v>
      </c>
      <c r="G27" s="6">
        <f t="shared" si="9"/>
        <v>0.5117078272</v>
      </c>
      <c r="H27" s="6">
        <f t="shared" si="10"/>
        <v>269.9639617</v>
      </c>
      <c r="I27" s="6">
        <f t="shared" si="2"/>
        <v>2.030361072</v>
      </c>
      <c r="J27" s="6">
        <f t="shared" si="3"/>
        <v>1.417355495</v>
      </c>
    </row>
    <row r="28">
      <c r="A28" s="16">
        <f t="shared" si="4"/>
        <v>20</v>
      </c>
      <c r="B28" s="6">
        <f t="shared" si="5"/>
        <v>200</v>
      </c>
      <c r="C28" s="6">
        <f t="shared" si="1"/>
        <v>275.9533882</v>
      </c>
      <c r="D28" s="6">
        <f t="shared" si="6"/>
        <v>274.6530798</v>
      </c>
      <c r="E28" s="6">
        <f t="shared" si="7"/>
        <v>0.5200606815</v>
      </c>
      <c r="F28" s="6">
        <f t="shared" si="8"/>
        <v>275.1645685</v>
      </c>
      <c r="G28" s="6">
        <f t="shared" si="9"/>
        <v>0.4331643543</v>
      </c>
      <c r="H28" s="6">
        <f t="shared" si="10"/>
        <v>274.7300869</v>
      </c>
      <c r="I28" s="6">
        <f t="shared" si="2"/>
        <v>1.30030847</v>
      </c>
      <c r="J28" s="6">
        <f t="shared" si="3"/>
        <v>1.223301377</v>
      </c>
    </row>
    <row r="29">
      <c r="A29" s="16">
        <f t="shared" si="4"/>
        <v>21</v>
      </c>
      <c r="B29" s="6">
        <f t="shared" si="5"/>
        <v>210</v>
      </c>
      <c r="C29" s="6">
        <f t="shared" si="1"/>
        <v>279.8155584</v>
      </c>
      <c r="D29" s="6">
        <f t="shared" si="6"/>
        <v>279.0707945</v>
      </c>
      <c r="E29" s="6">
        <f t="shared" si="7"/>
        <v>0.4404764734</v>
      </c>
      <c r="F29" s="6">
        <f t="shared" si="8"/>
        <v>279.1348516</v>
      </c>
      <c r="G29" s="6">
        <f t="shared" si="9"/>
        <v>0.3659098302</v>
      </c>
      <c r="H29" s="6">
        <f t="shared" si="10"/>
        <v>278.7620184</v>
      </c>
      <c r="I29" s="6">
        <f t="shared" si="2"/>
        <v>0.7447638356</v>
      </c>
      <c r="J29" s="6">
        <f t="shared" si="3"/>
        <v>1.053539986</v>
      </c>
    </row>
    <row r="30">
      <c r="A30" s="16">
        <f t="shared" si="4"/>
        <v>22</v>
      </c>
      <c r="B30" s="6">
        <f t="shared" si="5"/>
        <v>220</v>
      </c>
      <c r="C30" s="6">
        <f t="shared" si="1"/>
        <v>283.0717775</v>
      </c>
      <c r="D30" s="6">
        <f t="shared" si="6"/>
        <v>282.7408058</v>
      </c>
      <c r="E30" s="6">
        <f t="shared" si="7"/>
        <v>0.3722587088</v>
      </c>
      <c r="F30" s="6">
        <f t="shared" si="8"/>
        <v>282.4846055</v>
      </c>
      <c r="G30" s="6">
        <f t="shared" si="9"/>
        <v>0.3085617254</v>
      </c>
      <c r="H30" s="6">
        <f t="shared" si="10"/>
        <v>282.1661205</v>
      </c>
      <c r="I30" s="6">
        <f t="shared" si="2"/>
        <v>0.3309717202</v>
      </c>
      <c r="J30" s="6">
        <f t="shared" si="3"/>
        <v>0.9056569894</v>
      </c>
    </row>
    <row r="31">
      <c r="A31" s="16">
        <f t="shared" si="4"/>
        <v>23</v>
      </c>
      <c r="B31" s="6">
        <f t="shared" si="5"/>
        <v>230</v>
      </c>
      <c r="C31" s="6">
        <f t="shared" si="1"/>
        <v>285.8127331</v>
      </c>
      <c r="D31" s="6">
        <f t="shared" si="6"/>
        <v>285.7823359</v>
      </c>
      <c r="E31" s="6">
        <f t="shared" si="7"/>
        <v>0.3140377909</v>
      </c>
      <c r="F31" s="6">
        <f t="shared" si="8"/>
        <v>285.3064985</v>
      </c>
      <c r="G31" s="6">
        <f t="shared" si="9"/>
        <v>0.2598273561</v>
      </c>
      <c r="H31" s="6">
        <f t="shared" si="10"/>
        <v>285.0354463</v>
      </c>
      <c r="I31" s="6">
        <f t="shared" si="2"/>
        <v>0.03039717495</v>
      </c>
      <c r="J31" s="6">
        <f t="shared" si="3"/>
        <v>0.7772868272</v>
      </c>
    </row>
    <row r="32">
      <c r="A32" s="16">
        <f t="shared" si="4"/>
        <v>24</v>
      </c>
      <c r="B32" s="6">
        <f t="shared" si="5"/>
        <v>240</v>
      </c>
      <c r="C32" s="6">
        <f t="shared" si="1"/>
        <v>288.1169003</v>
      </c>
      <c r="D32" s="6">
        <f t="shared" si="6"/>
        <v>288.2980542</v>
      </c>
      <c r="E32" s="6">
        <f t="shared" si="7"/>
        <v>0.2645251131</v>
      </c>
      <c r="F32" s="6">
        <f t="shared" si="8"/>
        <v>287.6806974</v>
      </c>
      <c r="G32" s="6">
        <f t="shared" si="9"/>
        <v>0.2185286061</v>
      </c>
      <c r="H32" s="6">
        <f t="shared" si="10"/>
        <v>287.4507149</v>
      </c>
      <c r="I32" s="6">
        <f t="shared" si="2"/>
        <v>0.181153883</v>
      </c>
      <c r="J32" s="6">
        <f t="shared" si="3"/>
        <v>0.6661854568</v>
      </c>
    </row>
    <row r="33">
      <c r="A33" s="16">
        <f t="shared" si="4"/>
        <v>25</v>
      </c>
      <c r="B33" s="6">
        <f t="shared" si="5"/>
        <v>250</v>
      </c>
      <c r="C33" s="6">
        <f t="shared" si="1"/>
        <v>290.0517481</v>
      </c>
      <c r="D33" s="6">
        <f t="shared" si="6"/>
        <v>290.3755127</v>
      </c>
      <c r="E33" s="6">
        <f t="shared" si="7"/>
        <v>0.2225408602</v>
      </c>
      <c r="F33" s="6">
        <f t="shared" si="8"/>
        <v>289.6761235</v>
      </c>
      <c r="G33" s="6">
        <f t="shared" si="9"/>
        <v>0.1836114411</v>
      </c>
      <c r="H33" s="6">
        <f t="shared" si="10"/>
        <v>289.4814764</v>
      </c>
      <c r="I33" s="6">
        <f t="shared" si="2"/>
        <v>0.3237645774</v>
      </c>
      <c r="J33" s="6">
        <f t="shared" si="3"/>
        <v>0.5702717086</v>
      </c>
    </row>
    <row r="34">
      <c r="A34" s="16">
        <f t="shared" si="4"/>
        <v>26</v>
      </c>
      <c r="B34" s="6">
        <f t="shared" si="5"/>
        <v>260</v>
      </c>
      <c r="C34" s="6">
        <f t="shared" si="1"/>
        <v>291.6749812</v>
      </c>
      <c r="D34" s="6">
        <f t="shared" si="6"/>
        <v>292.0887994</v>
      </c>
      <c r="E34" s="6">
        <f t="shared" si="7"/>
        <v>0.1870257683</v>
      </c>
      <c r="F34" s="6">
        <f t="shared" si="8"/>
        <v>291.3517341</v>
      </c>
      <c r="G34" s="6">
        <f t="shared" si="9"/>
        <v>0.1541457667</v>
      </c>
      <c r="H34" s="6">
        <f t="shared" si="10"/>
        <v>291.1873341</v>
      </c>
      <c r="I34" s="6">
        <f t="shared" si="2"/>
        <v>0.413818125</v>
      </c>
      <c r="J34" s="6">
        <f t="shared" si="3"/>
        <v>0.487647184</v>
      </c>
    </row>
    <row r="35">
      <c r="A35" s="16">
        <f t="shared" si="4"/>
        <v>27</v>
      </c>
      <c r="B35" s="6">
        <f t="shared" si="5"/>
        <v>270</v>
      </c>
      <c r="C35" s="6">
        <f t="shared" si="1"/>
        <v>293.0357461</v>
      </c>
      <c r="D35" s="6">
        <f t="shared" si="6"/>
        <v>293.5002278</v>
      </c>
      <c r="E35" s="6">
        <f t="shared" si="7"/>
        <v>0.1570425672</v>
      </c>
      <c r="F35" s="6">
        <f t="shared" si="8"/>
        <v>292.7577597</v>
      </c>
      <c r="G35" s="6">
        <f t="shared" si="9"/>
        <v>0.1293194751</v>
      </c>
      <c r="H35" s="6">
        <f t="shared" si="10"/>
        <v>292.6191443</v>
      </c>
      <c r="I35" s="6">
        <f t="shared" si="2"/>
        <v>0.4644816787</v>
      </c>
      <c r="J35" s="6">
        <f t="shared" si="3"/>
        <v>0.4166018146</v>
      </c>
    </row>
    <row r="36">
      <c r="A36" s="16">
        <f t="shared" si="4"/>
        <v>28</v>
      </c>
      <c r="B36" s="6">
        <f t="shared" si="5"/>
        <v>280</v>
      </c>
      <c r="C36" s="6">
        <f t="shared" si="1"/>
        <v>294.1757564</v>
      </c>
      <c r="D36" s="6">
        <f t="shared" si="6"/>
        <v>294.6619536</v>
      </c>
      <c r="E36" s="6">
        <f t="shared" si="7"/>
        <v>0.1317711071</v>
      </c>
      <c r="F36" s="6">
        <f t="shared" si="8"/>
        <v>293.9368553</v>
      </c>
      <c r="G36" s="6">
        <f t="shared" si="9"/>
        <v>0.1084292874</v>
      </c>
      <c r="H36" s="6">
        <f t="shared" si="10"/>
        <v>293.8201462</v>
      </c>
      <c r="I36" s="6">
        <f t="shared" si="2"/>
        <v>0.4861972047</v>
      </c>
      <c r="J36" s="6">
        <f t="shared" si="3"/>
        <v>0.3556101428</v>
      </c>
    </row>
    <row r="37">
      <c r="A37" s="16">
        <f t="shared" si="4"/>
        <v>29</v>
      </c>
      <c r="B37" s="6">
        <f t="shared" si="5"/>
        <v>290</v>
      </c>
      <c r="C37" s="6">
        <f t="shared" si="1"/>
        <v>295.1303182</v>
      </c>
      <c r="D37" s="6">
        <f t="shared" si="6"/>
        <v>295.6174606</v>
      </c>
      <c r="E37" s="6">
        <f t="shared" si="7"/>
        <v>0.110499908</v>
      </c>
      <c r="F37" s="6">
        <f t="shared" si="8"/>
        <v>294.9251453</v>
      </c>
      <c r="G37" s="6">
        <f t="shared" si="9"/>
        <v>0.09087011499</v>
      </c>
      <c r="H37" s="6">
        <f t="shared" si="10"/>
        <v>294.8269964</v>
      </c>
      <c r="I37" s="6">
        <f t="shared" si="2"/>
        <v>0.4871423634</v>
      </c>
      <c r="J37" s="6">
        <f t="shared" si="3"/>
        <v>0.3033218854</v>
      </c>
    </row>
    <row r="38">
      <c r="A38" s="16">
        <f t="shared" si="4"/>
        <v>30</v>
      </c>
      <c r="B38" s="6">
        <f t="shared" si="5"/>
        <v>300</v>
      </c>
      <c r="C38" s="6">
        <f t="shared" si="1"/>
        <v>295.9292456</v>
      </c>
      <c r="D38" s="6">
        <f t="shared" si="6"/>
        <v>296.4028887</v>
      </c>
      <c r="E38" s="6">
        <f t="shared" si="7"/>
        <v>0.09261596349</v>
      </c>
      <c r="F38" s="6">
        <f t="shared" si="8"/>
        <v>295.753156</v>
      </c>
      <c r="G38" s="6">
        <f t="shared" si="9"/>
        <v>0.07612404555</v>
      </c>
      <c r="H38" s="6">
        <f t="shared" si="10"/>
        <v>295.6706964</v>
      </c>
      <c r="I38" s="6">
        <f t="shared" si="2"/>
        <v>0.4736430189</v>
      </c>
      <c r="J38" s="6">
        <f t="shared" si="3"/>
        <v>0.2585492484</v>
      </c>
    </row>
    <row r="39">
      <c r="A39" s="16">
        <f t="shared" si="4"/>
        <v>31</v>
      </c>
      <c r="B39" s="6">
        <f t="shared" si="5"/>
        <v>310</v>
      </c>
      <c r="C39" s="6">
        <f t="shared" si="1"/>
        <v>296.5976672</v>
      </c>
      <c r="D39" s="6">
        <f t="shared" si="6"/>
        <v>297.0481978</v>
      </c>
      <c r="E39" s="6">
        <f t="shared" si="7"/>
        <v>0.0775939827</v>
      </c>
      <c r="F39" s="6">
        <f t="shared" si="8"/>
        <v>296.4466362</v>
      </c>
      <c r="G39" s="6">
        <f t="shared" si="9"/>
        <v>0.06374963294</v>
      </c>
      <c r="H39" s="6">
        <f t="shared" si="10"/>
        <v>296.3774145</v>
      </c>
      <c r="I39" s="6">
        <f t="shared" si="2"/>
        <v>0.4505306286</v>
      </c>
      <c r="J39" s="6">
        <f t="shared" si="3"/>
        <v>0.2202526795</v>
      </c>
    </row>
    <row r="40">
      <c r="A40" s="16">
        <f t="shared" si="4"/>
        <v>32</v>
      </c>
      <c r="B40" s="6">
        <f t="shared" si="5"/>
        <v>320</v>
      </c>
      <c r="C40" s="6">
        <f t="shared" si="1"/>
        <v>297.1567291</v>
      </c>
      <c r="D40" s="6">
        <f t="shared" si="6"/>
        <v>297.5781737</v>
      </c>
      <c r="E40" s="6">
        <f t="shared" si="7"/>
        <v>0.06498581004</v>
      </c>
      <c r="F40" s="6">
        <f t="shared" si="8"/>
        <v>297.0272726</v>
      </c>
      <c r="G40" s="6">
        <f t="shared" si="9"/>
        <v>0.05337188096</v>
      </c>
      <c r="H40" s="6">
        <f t="shared" si="10"/>
        <v>296.9692029</v>
      </c>
      <c r="I40" s="6">
        <f t="shared" si="2"/>
        <v>0.4214446309</v>
      </c>
      <c r="J40" s="6">
        <f t="shared" si="3"/>
        <v>0.1875261822</v>
      </c>
    </row>
    <row r="41">
      <c r="A41" s="16">
        <f t="shared" si="4"/>
        <v>33</v>
      </c>
      <c r="B41" s="6">
        <f t="shared" si="5"/>
        <v>330</v>
      </c>
      <c r="C41" s="6">
        <f t="shared" si="1"/>
        <v>297.6242037</v>
      </c>
      <c r="D41" s="6">
        <f t="shared" si="6"/>
        <v>298.0132874</v>
      </c>
      <c r="E41" s="6">
        <f t="shared" si="7"/>
        <v>0.05441045633</v>
      </c>
      <c r="F41" s="6">
        <f t="shared" si="8"/>
        <v>297.5133075</v>
      </c>
      <c r="G41" s="6">
        <f t="shared" si="9"/>
        <v>0.04467312026</v>
      </c>
      <c r="H41" s="6">
        <f t="shared" si="10"/>
        <v>297.4646208</v>
      </c>
      <c r="I41" s="6">
        <f t="shared" si="2"/>
        <v>0.389083705</v>
      </c>
      <c r="J41" s="6">
        <f t="shared" si="3"/>
        <v>0.1595829176</v>
      </c>
    </row>
    <row r="42">
      <c r="A42" s="16">
        <f t="shared" si="4"/>
        <v>34</v>
      </c>
      <c r="B42" s="6">
        <f t="shared" si="5"/>
        <v>340</v>
      </c>
      <c r="C42" s="6">
        <f t="shared" si="1"/>
        <v>298.0150115</v>
      </c>
      <c r="D42" s="6">
        <f t="shared" si="6"/>
        <v>298.370423</v>
      </c>
      <c r="E42" s="6">
        <f t="shared" si="7"/>
        <v>0.04554497022</v>
      </c>
      <c r="F42" s="6">
        <f t="shared" si="8"/>
        <v>297.9200705</v>
      </c>
      <c r="G42" s="6">
        <f t="shared" si="9"/>
        <v>0.03738485319</v>
      </c>
      <c r="H42" s="6">
        <f t="shared" si="10"/>
        <v>297.8792699</v>
      </c>
      <c r="I42" s="6">
        <f t="shared" si="2"/>
        <v>0.355411552</v>
      </c>
      <c r="J42" s="6">
        <f t="shared" si="3"/>
        <v>0.135741541</v>
      </c>
    </row>
    <row r="43">
      <c r="A43" s="16">
        <f t="shared" si="4"/>
        <v>35</v>
      </c>
      <c r="B43" s="6">
        <f t="shared" si="5"/>
        <v>350</v>
      </c>
      <c r="C43" s="6">
        <f t="shared" si="1"/>
        <v>298.3416675</v>
      </c>
      <c r="D43" s="6">
        <f t="shared" si="6"/>
        <v>298.6634909</v>
      </c>
      <c r="E43" s="6">
        <f t="shared" si="7"/>
        <v>0.03811624627</v>
      </c>
      <c r="F43" s="6">
        <f t="shared" si="8"/>
        <v>298.2604324</v>
      </c>
      <c r="G43" s="6">
        <f t="shared" si="9"/>
        <v>0.03128056456</v>
      </c>
      <c r="H43" s="6">
        <f t="shared" si="10"/>
        <v>298.226254</v>
      </c>
      <c r="I43" s="6">
        <f t="shared" si="2"/>
        <v>0.3218234234</v>
      </c>
      <c r="J43" s="6">
        <f t="shared" si="3"/>
        <v>0.1154135267</v>
      </c>
    </row>
    <row r="44">
      <c r="A44" s="16">
        <f t="shared" si="4"/>
        <v>36</v>
      </c>
      <c r="B44" s="6">
        <f t="shared" si="5"/>
        <v>360</v>
      </c>
      <c r="C44" s="6">
        <f t="shared" si="1"/>
        <v>298.6146617</v>
      </c>
      <c r="D44" s="6">
        <f t="shared" si="6"/>
        <v>298.9039413</v>
      </c>
      <c r="E44" s="6">
        <f t="shared" si="7"/>
        <v>0.03189378169</v>
      </c>
      <c r="F44" s="6">
        <f t="shared" si="8"/>
        <v>298.5451918</v>
      </c>
      <c r="G44" s="6">
        <f t="shared" si="9"/>
        <v>0.02616945014</v>
      </c>
      <c r="H44" s="6">
        <f t="shared" si="10"/>
        <v>298.5165701</v>
      </c>
      <c r="I44" s="6">
        <f t="shared" si="2"/>
        <v>0.2892795031</v>
      </c>
      <c r="J44" s="6">
        <f t="shared" si="3"/>
        <v>0.09809160263</v>
      </c>
    </row>
    <row r="45">
      <c r="A45" s="16">
        <f t="shared" si="4"/>
        <v>37</v>
      </c>
      <c r="B45" s="6">
        <f t="shared" si="5"/>
        <v>370</v>
      </c>
      <c r="C45" s="6">
        <f t="shared" si="1"/>
        <v>298.8427811</v>
      </c>
      <c r="D45" s="6">
        <f t="shared" si="6"/>
        <v>299.1011919</v>
      </c>
      <c r="E45" s="6">
        <f t="shared" si="7"/>
        <v>0.02668334326</v>
      </c>
      <c r="F45" s="6">
        <f t="shared" si="8"/>
        <v>298.7834036</v>
      </c>
      <c r="G45" s="6">
        <f t="shared" si="9"/>
        <v>0.02189099036</v>
      </c>
      <c r="H45" s="6">
        <f t="shared" si="10"/>
        <v>298.7594418</v>
      </c>
      <c r="I45" s="6">
        <f t="shared" si="2"/>
        <v>0.2584107604</v>
      </c>
      <c r="J45" s="6">
        <f t="shared" si="3"/>
        <v>0.08333933033</v>
      </c>
    </row>
    <row r="46">
      <c r="A46" s="16">
        <f t="shared" si="4"/>
        <v>38</v>
      </c>
      <c r="B46" s="6">
        <f t="shared" si="5"/>
        <v>380</v>
      </c>
      <c r="C46" s="6">
        <f t="shared" si="1"/>
        <v>299.0333824</v>
      </c>
      <c r="D46" s="6">
        <f t="shared" si="6"/>
        <v>299.2629847</v>
      </c>
      <c r="E46" s="6">
        <f t="shared" si="7"/>
        <v>0.02232147766</v>
      </c>
      <c r="F46" s="6">
        <f t="shared" si="8"/>
        <v>298.9826566</v>
      </c>
      <c r="G46" s="6">
        <f t="shared" si="9"/>
        <v>0.01831028515</v>
      </c>
      <c r="H46" s="6">
        <f t="shared" si="10"/>
        <v>298.9626006</v>
      </c>
      <c r="I46" s="6">
        <f t="shared" si="2"/>
        <v>0.2296022392</v>
      </c>
      <c r="J46" s="6">
        <f t="shared" si="3"/>
        <v>0.07078180557</v>
      </c>
    </row>
    <row r="47">
      <c r="A47" s="16">
        <f t="shared" si="4"/>
        <v>39</v>
      </c>
      <c r="B47" s="6">
        <f t="shared" si="5"/>
        <v>390</v>
      </c>
      <c r="C47" s="6">
        <f t="shared" si="1"/>
        <v>299.1926223</v>
      </c>
      <c r="D47" s="6">
        <f t="shared" si="6"/>
        <v>299.3956803</v>
      </c>
      <c r="E47" s="6">
        <f t="shared" si="7"/>
        <v>0.01867078507</v>
      </c>
      <c r="F47" s="6">
        <f t="shared" si="8"/>
        <v>299.1493085</v>
      </c>
      <c r="G47" s="6">
        <f t="shared" si="9"/>
        <v>0.01531406363</v>
      </c>
      <c r="H47" s="6">
        <f t="shared" si="10"/>
        <v>299.1325249</v>
      </c>
      <c r="I47" s="6">
        <f t="shared" si="2"/>
        <v>0.2030580531</v>
      </c>
      <c r="J47" s="6">
        <f t="shared" si="3"/>
        <v>0.06009742426</v>
      </c>
    </row>
    <row r="48">
      <c r="A48" s="16">
        <f t="shared" si="4"/>
        <v>40</v>
      </c>
      <c r="B48" s="6">
        <f t="shared" si="5"/>
        <v>400</v>
      </c>
      <c r="C48" s="8">
        <f t="shared" si="1"/>
        <v>299.3256513</v>
      </c>
      <c r="D48" s="9">
        <f t="shared" si="6"/>
        <v>299.504503</v>
      </c>
      <c r="E48" s="6">
        <f t="shared" si="7"/>
        <v>0.0156158717</v>
      </c>
      <c r="F48" s="9">
        <f t="shared" si="8"/>
        <v>299.2886836</v>
      </c>
      <c r="G48" s="6">
        <f t="shared" si="9"/>
        <v>0.01280728497</v>
      </c>
      <c r="H48" s="9">
        <f t="shared" si="10"/>
        <v>299.2746407</v>
      </c>
      <c r="I48" s="6">
        <f t="shared" si="2"/>
        <v>0.1788516838</v>
      </c>
      <c r="J48" s="6">
        <f t="shared" si="3"/>
        <v>0.05101063585</v>
      </c>
    </row>
  </sheetData>
  <mergeCells count="1">
    <mergeCell ref="D3:H4"/>
  </mergeCells>
  <drawing r:id="rId1"/>
</worksheet>
</file>